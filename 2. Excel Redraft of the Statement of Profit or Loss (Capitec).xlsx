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n\Desktop\MY PC\BCom Business Management\CACC012 Assignment\"/>
    </mc:Choice>
  </mc:AlternateContent>
  <xr:revisionPtr revIDLastSave="0" documentId="13_ncr:1_{4864FF9D-5C20-43F9-BF49-672C710480D3}" xr6:coauthVersionLast="47" xr6:coauthVersionMax="47" xr10:uidLastSave="{00000000-0000-0000-0000-000000000000}"/>
  <bookViews>
    <workbookView xWindow="-108" yWindow="-108" windowWidth="23256" windowHeight="12456" activeTab="1" xr2:uid="{D2693148-5B96-4EAC-AD69-CE0B749A11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22" i="1"/>
  <c r="B18" i="1"/>
  <c r="B17" i="1"/>
  <c r="B24" i="1" s="1"/>
  <c r="B9" i="1"/>
  <c r="F34" i="2"/>
  <c r="B32" i="2"/>
  <c r="B9" i="2"/>
  <c r="E30" i="2"/>
  <c r="D27" i="2"/>
  <c r="C24" i="2"/>
  <c r="B18" i="2"/>
  <c r="B20" i="2" s="1"/>
  <c r="F33" i="2" s="1"/>
  <c r="B17" i="2"/>
  <c r="B11" i="2"/>
</calcChain>
</file>

<file path=xl/sharedStrings.xml><?xml version="1.0" encoding="utf-8"?>
<sst xmlns="http://schemas.openxmlformats.org/spreadsheetml/2006/main" count="58" uniqueCount="45">
  <si>
    <t>Description</t>
  </si>
  <si>
    <t>Capitec Bank holding limited</t>
  </si>
  <si>
    <t>Statement of profit or loss</t>
  </si>
  <si>
    <t>Year end 28 Feb 2025</t>
  </si>
  <si>
    <t>R</t>
  </si>
  <si>
    <t>Interest income</t>
  </si>
  <si>
    <t xml:space="preserve">Description: </t>
  </si>
  <si>
    <t>Int Expense &amp; similar charges</t>
  </si>
  <si>
    <t>Net interest income</t>
  </si>
  <si>
    <t>Year 2025 &amp; Calculations:</t>
  </si>
  <si>
    <t>Credit impairments</t>
  </si>
  <si>
    <t>Net int income after credit impairments</t>
  </si>
  <si>
    <t>Net loan fee income</t>
  </si>
  <si>
    <t>Net transaction &amp; commission income</t>
  </si>
  <si>
    <t>Net insurance result</t>
  </si>
  <si>
    <t>Net foreign currency income</t>
  </si>
  <si>
    <t>Other income</t>
  </si>
  <si>
    <t>Net non-interest income</t>
  </si>
  <si>
    <t>Income from operations after Credit impairments</t>
  </si>
  <si>
    <t>Operating expenses</t>
  </si>
  <si>
    <t>Share of net profit of associates &amp; joint ventures</t>
  </si>
  <si>
    <t>Deemed disposal of investment in associate</t>
  </si>
  <si>
    <t>Operating profit before tax</t>
  </si>
  <si>
    <t>Income and deferred tax expense</t>
  </si>
  <si>
    <t>Profit for the year</t>
  </si>
  <si>
    <t>Capitec bank holdings limited</t>
  </si>
  <si>
    <t>Year ended 28 Feb 2025</t>
  </si>
  <si>
    <t>Operating</t>
  </si>
  <si>
    <t>Investing</t>
  </si>
  <si>
    <t>Financing</t>
  </si>
  <si>
    <t>Total</t>
  </si>
  <si>
    <t>Interest expense &amp; similar charges</t>
  </si>
  <si>
    <t>Net interest Income</t>
  </si>
  <si>
    <t>Net interest income after credit impairments</t>
  </si>
  <si>
    <t>Total other operating income</t>
  </si>
  <si>
    <t>Operating income after credit impairments</t>
  </si>
  <si>
    <t>Operating profit before investing income</t>
  </si>
  <si>
    <t>Total investing income</t>
  </si>
  <si>
    <t>Financing income and expenses</t>
  </si>
  <si>
    <t>Total financing</t>
  </si>
  <si>
    <t>Income tax</t>
  </si>
  <si>
    <t>Total income tax expense</t>
  </si>
  <si>
    <t>R'000 [Amount × 1000]</t>
  </si>
  <si>
    <t>Operating profit or loss</t>
  </si>
  <si>
    <t>Profit or loss before financing and income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</si>
</sst>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3" borderId="0" xfId="0" applyFont="1" applyFill="1"/>
    <xf numFmtId="0" fontId="2" fillId="0" borderId="0" xfId="0" applyFont="1"/>
    <xf numFmtId="3" fontId="2" fillId="0" borderId="0" xfId="0" applyNumberFormat="1" applyFont="1"/>
    <xf numFmtId="3" fontId="2" fillId="4" borderId="0" xfId="0" applyNumberFormat="1" applyFont="1" applyFill="1"/>
    <xf numFmtId="0" fontId="1" fillId="5" borderId="0" xfId="0" applyFont="1" applyFill="1"/>
    <xf numFmtId="3" fontId="2" fillId="5" borderId="0" xfId="0" applyNumberFormat="1" applyFont="1" applyFill="1"/>
    <xf numFmtId="0" fontId="1" fillId="2" borderId="0" xfId="0" applyFont="1" applyFill="1"/>
    <xf numFmtId="3" fontId="2" fillId="2" borderId="0" xfId="0" applyNumberFormat="1" applyFont="1" applyFill="1"/>
    <xf numFmtId="0" fontId="2" fillId="3" borderId="0" xfId="0" applyFont="1" applyFill="1"/>
    <xf numFmtId="3" fontId="2" fillId="3" borderId="0" xfId="0" applyNumberFormat="1" applyFont="1" applyFill="1"/>
    <xf numFmtId="0" fontId="2" fillId="5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3" fillId="2" borderId="0" xfId="0" applyFont="1" applyFill="1"/>
    <xf numFmtId="3" fontId="4" fillId="2" borderId="0" xfId="0" applyNumberFormat="1" applyFont="1" applyFill="1"/>
    <xf numFmtId="0" fontId="3" fillId="3" borderId="0" xfId="0" applyFont="1" applyFill="1"/>
    <xf numFmtId="3" fontId="4" fillId="3" borderId="0" xfId="0" applyNumberFormat="1" applyFont="1" applyFill="1"/>
    <xf numFmtId="0" fontId="3" fillId="4" borderId="0" xfId="0" applyFont="1" applyFill="1"/>
    <xf numFmtId="3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3E4D-D949-4D36-8308-84A2F99591D3}">
  <dimension ref="A1:D24"/>
  <sheetViews>
    <sheetView topLeftCell="A8" workbookViewId="0">
      <selection activeCell="C10" sqref="C10"/>
    </sheetView>
  </sheetViews>
  <sheetFormatPr defaultRowHeight="14.4" x14ac:dyDescent="0.3"/>
  <cols>
    <col min="1" max="1" width="32.6640625" bestFit="1" customWidth="1"/>
    <col min="2" max="2" width="33.5546875" customWidth="1"/>
    <col min="3" max="3" width="26.21875" customWidth="1"/>
    <col min="4" max="4" width="20.5546875" customWidth="1"/>
  </cols>
  <sheetData>
    <row r="1" spans="1:4" ht="21" x14ac:dyDescent="0.4">
      <c r="A1" s="15" t="s">
        <v>1</v>
      </c>
      <c r="B1" s="15"/>
      <c r="D1" s="1"/>
    </row>
    <row r="2" spans="1:4" ht="21" x14ac:dyDescent="0.4">
      <c r="A2" s="15" t="s">
        <v>2</v>
      </c>
      <c r="B2" s="16"/>
    </row>
    <row r="3" spans="1:4" ht="21" x14ac:dyDescent="0.4">
      <c r="A3" s="15" t="s">
        <v>3</v>
      </c>
      <c r="B3" s="16"/>
    </row>
    <row r="4" spans="1:4" ht="21" x14ac:dyDescent="0.4">
      <c r="A4" s="15" t="s">
        <v>4</v>
      </c>
      <c r="B4" s="16"/>
    </row>
    <row r="5" spans="1:4" ht="21" x14ac:dyDescent="0.4">
      <c r="A5" s="16"/>
      <c r="B5" s="16"/>
    </row>
    <row r="6" spans="1:4" ht="21" x14ac:dyDescent="0.4">
      <c r="A6" s="18" t="s">
        <v>6</v>
      </c>
      <c r="B6" s="18" t="s">
        <v>9</v>
      </c>
      <c r="C6" s="1"/>
    </row>
    <row r="7" spans="1:4" ht="21" x14ac:dyDescent="0.4">
      <c r="A7" s="16" t="s">
        <v>5</v>
      </c>
      <c r="B7" s="17">
        <v>30228358</v>
      </c>
    </row>
    <row r="8" spans="1:4" ht="21" x14ac:dyDescent="0.4">
      <c r="A8" s="16" t="s">
        <v>7</v>
      </c>
      <c r="B8" s="17">
        <v>-10042710</v>
      </c>
    </row>
    <row r="9" spans="1:4" ht="21" x14ac:dyDescent="0.4">
      <c r="A9" s="18" t="s">
        <v>8</v>
      </c>
      <c r="B9" s="19">
        <f>B7+B8</f>
        <v>20185648</v>
      </c>
    </row>
    <row r="10" spans="1:4" ht="21" x14ac:dyDescent="0.4">
      <c r="A10" s="16" t="s">
        <v>10</v>
      </c>
      <c r="B10" s="17">
        <v>-8258386</v>
      </c>
    </row>
    <row r="11" spans="1:4" ht="21" x14ac:dyDescent="0.4">
      <c r="A11" s="20" t="s">
        <v>11</v>
      </c>
      <c r="B11" s="21">
        <f>B9+B10</f>
        <v>11927262</v>
      </c>
    </row>
    <row r="12" spans="1:4" ht="21" x14ac:dyDescent="0.4">
      <c r="A12" s="16" t="s">
        <v>12</v>
      </c>
      <c r="B12" s="17">
        <v>1285935</v>
      </c>
    </row>
    <row r="13" spans="1:4" ht="21" x14ac:dyDescent="0.4">
      <c r="A13" s="16" t="s">
        <v>13</v>
      </c>
      <c r="B13" s="17">
        <v>18534852</v>
      </c>
    </row>
    <row r="14" spans="1:4" ht="21" x14ac:dyDescent="0.4">
      <c r="A14" s="16" t="s">
        <v>14</v>
      </c>
      <c r="B14" s="17">
        <v>3777357</v>
      </c>
    </row>
    <row r="15" spans="1:4" ht="21" x14ac:dyDescent="0.4">
      <c r="A15" s="16" t="s">
        <v>15</v>
      </c>
      <c r="B15" s="17">
        <v>135594</v>
      </c>
    </row>
    <row r="16" spans="1:4" ht="21" x14ac:dyDescent="0.4">
      <c r="A16" s="16" t="s">
        <v>16</v>
      </c>
      <c r="B16" s="17">
        <v>147991</v>
      </c>
    </row>
    <row r="17" spans="1:2" ht="21" x14ac:dyDescent="0.4">
      <c r="A17" s="22" t="s">
        <v>17</v>
      </c>
      <c r="B17" s="23">
        <f>SUM(B12:B16)</f>
        <v>23881729</v>
      </c>
    </row>
    <row r="18" spans="1:2" ht="21" x14ac:dyDescent="0.4">
      <c r="A18" s="20" t="s">
        <v>18</v>
      </c>
      <c r="B18" s="21">
        <f>B11+B17</f>
        <v>35808991</v>
      </c>
    </row>
    <row r="19" spans="1:2" ht="21" x14ac:dyDescent="0.4">
      <c r="A19" s="16" t="s">
        <v>19</v>
      </c>
      <c r="B19" s="17">
        <v>-18099565</v>
      </c>
    </row>
    <row r="20" spans="1:2" ht="21" x14ac:dyDescent="0.4">
      <c r="A20" s="16" t="s">
        <v>20</v>
      </c>
      <c r="B20" s="17">
        <v>2994</v>
      </c>
    </row>
    <row r="21" spans="1:2" ht="21" x14ac:dyDescent="0.4">
      <c r="A21" s="16" t="s">
        <v>21</v>
      </c>
      <c r="B21" s="17">
        <v>27245</v>
      </c>
    </row>
    <row r="22" spans="1:2" ht="21" x14ac:dyDescent="0.4">
      <c r="A22" s="20" t="s">
        <v>22</v>
      </c>
      <c r="B22" s="21">
        <f>SUM(B18:B21)</f>
        <v>17739665</v>
      </c>
    </row>
    <row r="23" spans="1:2" ht="21" x14ac:dyDescent="0.4">
      <c r="A23" s="16" t="s">
        <v>23</v>
      </c>
      <c r="B23" s="17">
        <v>-3990549</v>
      </c>
    </row>
    <row r="24" spans="1:2" ht="21" x14ac:dyDescent="0.4">
      <c r="A24" s="22" t="s">
        <v>24</v>
      </c>
      <c r="B24" s="23">
        <f>B22+B23</f>
        <v>13749116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AF8F-F543-4744-9795-006C26A33852}">
  <dimension ref="A1:F34"/>
  <sheetViews>
    <sheetView tabSelected="1" workbookViewId="0">
      <selection activeCell="D13" sqref="D13"/>
    </sheetView>
  </sheetViews>
  <sheetFormatPr defaultRowHeight="14.4" x14ac:dyDescent="0.3"/>
  <cols>
    <col min="1" max="1" width="39.33203125" customWidth="1"/>
    <col min="2" max="2" width="31.77734375" customWidth="1"/>
    <col min="3" max="3" width="27.109375" customWidth="1"/>
    <col min="4" max="4" width="19.77734375" customWidth="1"/>
    <col min="5" max="5" width="20" customWidth="1"/>
    <col min="6" max="6" width="17.6640625" customWidth="1"/>
  </cols>
  <sheetData>
    <row r="1" spans="1:6" ht="21" x14ac:dyDescent="0.4">
      <c r="A1" s="15" t="s">
        <v>25</v>
      </c>
    </row>
    <row r="2" spans="1:6" ht="21" x14ac:dyDescent="0.4">
      <c r="A2" s="15" t="s">
        <v>2</v>
      </c>
    </row>
    <row r="3" spans="1:6" ht="21" x14ac:dyDescent="0.4">
      <c r="A3" s="15" t="s">
        <v>26</v>
      </c>
    </row>
    <row r="4" spans="1:6" ht="21" x14ac:dyDescent="0.4">
      <c r="A4" s="15" t="s">
        <v>42</v>
      </c>
    </row>
    <row r="6" spans="1:6" ht="18" x14ac:dyDescent="0.35">
      <c r="A6" s="3" t="s">
        <v>0</v>
      </c>
      <c r="B6" s="3" t="s">
        <v>27</v>
      </c>
      <c r="C6" s="3" t="s">
        <v>28</v>
      </c>
      <c r="D6" s="3" t="s">
        <v>29</v>
      </c>
      <c r="E6" s="3" t="s">
        <v>40</v>
      </c>
      <c r="F6" s="3" t="s">
        <v>30</v>
      </c>
    </row>
    <row r="7" spans="1:6" ht="18" x14ac:dyDescent="0.35">
      <c r="A7" s="4" t="s">
        <v>5</v>
      </c>
      <c r="B7" s="5">
        <v>30228358</v>
      </c>
      <c r="C7" s="4"/>
      <c r="D7" s="4"/>
      <c r="E7" s="4"/>
      <c r="F7" s="4"/>
    </row>
    <row r="8" spans="1:6" ht="18" x14ac:dyDescent="0.35">
      <c r="A8" s="4" t="s">
        <v>31</v>
      </c>
      <c r="B8" s="5">
        <v>-10042710</v>
      </c>
      <c r="C8" s="4"/>
      <c r="D8" s="4"/>
      <c r="E8" s="4"/>
      <c r="F8" s="4"/>
    </row>
    <row r="9" spans="1:6" ht="18" x14ac:dyDescent="0.35">
      <c r="A9" s="2" t="s">
        <v>32</v>
      </c>
      <c r="B9" s="6">
        <f>SUM(B7:B8)</f>
        <v>20185648</v>
      </c>
      <c r="C9" s="4"/>
      <c r="D9" s="4"/>
      <c r="E9" s="4"/>
      <c r="F9" s="4"/>
    </row>
    <row r="10" spans="1:6" ht="18" x14ac:dyDescent="0.35">
      <c r="A10" s="4" t="s">
        <v>10</v>
      </c>
      <c r="B10" s="5">
        <v>-8258386</v>
      </c>
      <c r="C10" s="4"/>
      <c r="D10" s="4"/>
      <c r="E10" s="4"/>
      <c r="F10" s="4"/>
    </row>
    <row r="11" spans="1:6" ht="18" x14ac:dyDescent="0.35">
      <c r="A11" s="2" t="s">
        <v>33</v>
      </c>
      <c r="B11" s="6">
        <f>B9+B10</f>
        <v>11927262</v>
      </c>
      <c r="C11" s="4"/>
      <c r="D11" s="4"/>
      <c r="E11" s="4"/>
      <c r="F11" s="4"/>
    </row>
    <row r="12" spans="1:6" ht="18" x14ac:dyDescent="0.35">
      <c r="A12" s="4" t="s">
        <v>12</v>
      </c>
      <c r="B12" s="5">
        <v>1285935</v>
      </c>
      <c r="C12" s="4"/>
      <c r="D12" s="4"/>
      <c r="E12" s="4"/>
      <c r="F12" s="4"/>
    </row>
    <row r="13" spans="1:6" ht="18" x14ac:dyDescent="0.35">
      <c r="A13" s="4" t="s">
        <v>13</v>
      </c>
      <c r="B13" s="5">
        <v>18534852</v>
      </c>
      <c r="C13" s="4"/>
      <c r="D13" s="4"/>
      <c r="E13" s="4"/>
      <c r="F13" s="4"/>
    </row>
    <row r="14" spans="1:6" ht="18" x14ac:dyDescent="0.35">
      <c r="A14" s="4" t="s">
        <v>14</v>
      </c>
      <c r="B14" s="5">
        <v>3777357</v>
      </c>
      <c r="C14" s="4"/>
      <c r="D14" s="4"/>
      <c r="E14" s="4"/>
      <c r="F14" s="4"/>
    </row>
    <row r="15" spans="1:6" ht="18" x14ac:dyDescent="0.35">
      <c r="A15" s="4" t="s">
        <v>15</v>
      </c>
      <c r="B15" s="5">
        <v>135594</v>
      </c>
      <c r="C15" s="4"/>
      <c r="D15" s="4"/>
      <c r="E15" s="4"/>
      <c r="F15" s="4"/>
    </row>
    <row r="16" spans="1:6" ht="18" x14ac:dyDescent="0.35">
      <c r="A16" s="4" t="s">
        <v>16</v>
      </c>
      <c r="B16" s="5">
        <v>147991</v>
      </c>
      <c r="C16" s="4"/>
      <c r="D16" s="4"/>
      <c r="E16" s="4"/>
      <c r="F16" s="4"/>
    </row>
    <row r="17" spans="1:6" ht="18" x14ac:dyDescent="0.35">
      <c r="A17" s="7" t="s">
        <v>34</v>
      </c>
      <c r="B17" s="8">
        <f>SUM(B12:B16)</f>
        <v>23881729</v>
      </c>
      <c r="C17" s="4"/>
      <c r="D17" s="4"/>
      <c r="E17" s="4"/>
      <c r="F17" s="4"/>
    </row>
    <row r="18" spans="1:6" ht="18" x14ac:dyDescent="0.35">
      <c r="A18" s="9" t="s">
        <v>35</v>
      </c>
      <c r="B18" s="10">
        <f>B11+B17</f>
        <v>35808991</v>
      </c>
      <c r="C18" s="4"/>
      <c r="D18" s="4"/>
      <c r="E18" s="4"/>
      <c r="F18" s="4"/>
    </row>
    <row r="19" spans="1:6" ht="18" x14ac:dyDescent="0.35">
      <c r="A19" s="4" t="s">
        <v>19</v>
      </c>
      <c r="B19" s="5">
        <v>-18099565</v>
      </c>
      <c r="C19" s="4"/>
      <c r="D19" s="4"/>
      <c r="E19" s="4"/>
      <c r="F19" s="4"/>
    </row>
    <row r="20" spans="1:6" ht="18" x14ac:dyDescent="0.35">
      <c r="A20" s="7" t="s">
        <v>36</v>
      </c>
      <c r="B20" s="8">
        <f>B18+B19</f>
        <v>17709426</v>
      </c>
      <c r="C20" s="4"/>
      <c r="D20" s="4"/>
      <c r="E20" s="4"/>
      <c r="F20" s="4"/>
    </row>
    <row r="21" spans="1:6" ht="18" x14ac:dyDescent="0.35">
      <c r="A21" s="4"/>
      <c r="B21" s="4"/>
      <c r="C21" s="4"/>
      <c r="D21" s="4"/>
      <c r="E21" s="4"/>
      <c r="F21" s="4"/>
    </row>
    <row r="22" spans="1:6" ht="18" x14ac:dyDescent="0.35">
      <c r="A22" s="4" t="s">
        <v>20</v>
      </c>
      <c r="B22" s="4"/>
      <c r="C22" s="5">
        <v>2994</v>
      </c>
      <c r="D22" s="4"/>
      <c r="E22" s="4"/>
      <c r="F22" s="4"/>
    </row>
    <row r="23" spans="1:6" ht="18" x14ac:dyDescent="0.35">
      <c r="A23" s="4" t="s">
        <v>21</v>
      </c>
      <c r="B23" s="4"/>
      <c r="C23" s="5">
        <v>27245</v>
      </c>
      <c r="D23" s="4"/>
      <c r="E23" s="4"/>
      <c r="F23" s="4"/>
    </row>
    <row r="24" spans="1:6" ht="18" x14ac:dyDescent="0.35">
      <c r="A24" s="3" t="s">
        <v>37</v>
      </c>
      <c r="B24" s="11"/>
      <c r="C24" s="12">
        <f>SUM(C22:C23)</f>
        <v>30239</v>
      </c>
      <c r="D24" s="4"/>
      <c r="E24" s="4"/>
      <c r="F24" s="4"/>
    </row>
    <row r="25" spans="1:6" ht="18" x14ac:dyDescent="0.35">
      <c r="A25" s="4"/>
      <c r="B25" s="4"/>
      <c r="C25" s="4"/>
      <c r="D25" s="4"/>
      <c r="E25" s="4"/>
      <c r="F25" s="4"/>
    </row>
    <row r="26" spans="1:6" ht="18" x14ac:dyDescent="0.35">
      <c r="A26" s="4" t="s">
        <v>38</v>
      </c>
      <c r="B26" s="4"/>
      <c r="C26" s="4"/>
      <c r="D26" s="4"/>
      <c r="E26" s="4"/>
      <c r="F26" s="4"/>
    </row>
    <row r="27" spans="1:6" ht="18" x14ac:dyDescent="0.35">
      <c r="A27" s="3" t="s">
        <v>39</v>
      </c>
      <c r="B27" s="11"/>
      <c r="C27" s="11"/>
      <c r="D27" s="11">
        <f>SUM(D26:D26)</f>
        <v>0</v>
      </c>
      <c r="E27" s="4"/>
      <c r="F27" s="4"/>
    </row>
    <row r="28" spans="1:6" ht="18" x14ac:dyDescent="0.35">
      <c r="A28" s="4"/>
      <c r="B28" s="4"/>
      <c r="C28" s="4"/>
      <c r="D28" s="4"/>
      <c r="E28" s="4"/>
      <c r="F28" s="4"/>
    </row>
    <row r="29" spans="1:6" ht="18" x14ac:dyDescent="0.35">
      <c r="A29" s="4" t="s">
        <v>23</v>
      </c>
      <c r="B29" s="4"/>
      <c r="C29" s="4"/>
      <c r="D29" s="4"/>
      <c r="E29" s="5">
        <v>-3990549</v>
      </c>
      <c r="F29" s="4"/>
    </row>
    <row r="30" spans="1:6" ht="18" x14ac:dyDescent="0.35">
      <c r="A30" s="7" t="s">
        <v>41</v>
      </c>
      <c r="B30" s="13"/>
      <c r="C30" s="13"/>
      <c r="D30" s="13"/>
      <c r="E30" s="8">
        <f>E29</f>
        <v>-3990549</v>
      </c>
      <c r="F30" s="4"/>
    </row>
    <row r="31" spans="1:6" ht="18" x14ac:dyDescent="0.35">
      <c r="A31" s="4"/>
      <c r="B31" s="4"/>
      <c r="C31" s="4"/>
      <c r="D31" s="4"/>
      <c r="E31" s="4"/>
      <c r="F31" s="4"/>
    </row>
    <row r="32" spans="1:6" ht="18" x14ac:dyDescent="0.35">
      <c r="A32" s="9" t="s">
        <v>43</v>
      </c>
      <c r="B32" s="10">
        <f>B20</f>
        <v>17709426</v>
      </c>
      <c r="C32" s="14"/>
      <c r="D32" s="14"/>
      <c r="E32" s="14"/>
      <c r="F32" s="14"/>
    </row>
    <row r="33" spans="1:6" ht="18" x14ac:dyDescent="0.35">
      <c r="A33" s="3" t="s">
        <v>44</v>
      </c>
      <c r="B33" s="12"/>
      <c r="C33" s="11"/>
      <c r="D33" s="11"/>
      <c r="E33" s="11"/>
      <c r="F33" s="12">
        <f>B32+C24</f>
        <v>17739665</v>
      </c>
    </row>
    <row r="34" spans="1:6" ht="18" x14ac:dyDescent="0.35">
      <c r="A34" s="7" t="s">
        <v>24</v>
      </c>
      <c r="B34" s="13"/>
      <c r="C34" s="13"/>
      <c r="D34" s="13"/>
      <c r="E34" s="13"/>
      <c r="F34" s="8">
        <f>E29+F33</f>
        <v>13749116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FARANANI DAVHANA (240011965)</dc:creator>
  <cp:lastModifiedBy>MR FARANANI DAVHANA (240011965)</cp:lastModifiedBy>
  <dcterms:created xsi:type="dcterms:W3CDTF">2026-08-17T05:14:00Z</dcterms:created>
  <dcterms:modified xsi:type="dcterms:W3CDTF">2026-10-08T09:55:16Z</dcterms:modified>
</cp:coreProperties>
</file>